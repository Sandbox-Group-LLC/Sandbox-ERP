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m/Desktop/"/>
    </mc:Choice>
  </mc:AlternateContent>
  <xr:revisionPtr revIDLastSave="0" documentId="8_{E44017A3-6F11-A64C-B44B-5BC0D0118435}" xr6:coauthVersionLast="47" xr6:coauthVersionMax="47" xr10:uidLastSave="{00000000-0000-0000-0000-000000000000}"/>
  <bookViews>
    <workbookView xWindow="5180" yWindow="1800" windowWidth="28040" windowHeight="17440" xr2:uid="{B5432848-A18C-D041-9ABD-A6938084A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8" i="1"/>
  <c r="E29" i="1"/>
  <c r="E30" i="1"/>
  <c r="E31" i="1" s="1"/>
  <c r="E13" i="1"/>
  <c r="E24" i="1"/>
  <c r="E33" i="1"/>
  <c r="E6" i="1"/>
  <c r="E26" i="1"/>
  <c r="E34" i="1" l="1"/>
</calcChain>
</file>

<file path=xl/sharedStrings.xml><?xml version="1.0" encoding="utf-8"?>
<sst xmlns="http://schemas.openxmlformats.org/spreadsheetml/2006/main" count="94" uniqueCount="38">
  <si>
    <t>DESCRIPTION</t>
  </si>
  <si>
    <t>PARTY</t>
  </si>
  <si>
    <t>RATE</t>
  </si>
  <si>
    <t>HOURS</t>
  </si>
  <si>
    <t>TOTAL</t>
  </si>
  <si>
    <t>GUEST TRAVEL</t>
  </si>
  <si>
    <t>Guest Travel - Fairmont Sonoma</t>
  </si>
  <si>
    <t>Third Party</t>
  </si>
  <si>
    <t>N/A</t>
  </si>
  <si>
    <t>Guest Travel - Sonoma Valley Inn</t>
  </si>
  <si>
    <t>Guest Travel - Lodge</t>
  </si>
  <si>
    <t>VENUE SERVICES</t>
  </si>
  <si>
    <t>Venue Hospitality Staff</t>
  </si>
  <si>
    <t>Venue Cost (banquet labor, server fees, etc.)</t>
  </si>
  <si>
    <t>Food &amp; Beverage - Fairmont</t>
  </si>
  <si>
    <t>Power Distro</t>
  </si>
  <si>
    <t>Security (Supplemental)</t>
  </si>
  <si>
    <t>ONSITE STAFFING</t>
  </si>
  <si>
    <t>Scenic Labor - Keynote / Ancillary Elements</t>
  </si>
  <si>
    <t>AV Labor - Keynote</t>
  </si>
  <si>
    <t>AV Labor - Breakouts</t>
  </si>
  <si>
    <t>Decor Crew/PAs</t>
  </si>
  <si>
    <t>Brand Ambassadors</t>
  </si>
  <si>
    <t>Photographer</t>
  </si>
  <si>
    <t>Show Caller</t>
  </si>
  <si>
    <t>Stage Manager</t>
  </si>
  <si>
    <t>Hair &amp; Makeup</t>
  </si>
  <si>
    <t>SANDBOX-XM STAFFING</t>
  </si>
  <si>
    <t>Executive Director</t>
  </si>
  <si>
    <t>Sandbox</t>
  </si>
  <si>
    <t>Senior Producer</t>
  </si>
  <si>
    <t>Senior Coordinator</t>
  </si>
  <si>
    <t>Art Director - Graphics</t>
  </si>
  <si>
    <t>Senior Designer</t>
  </si>
  <si>
    <t>Subtotal</t>
  </si>
  <si>
    <t>TAX</t>
  </si>
  <si>
    <t>Estimated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</si>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</sst>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.5"/>
      <color rgb="FFFFFFFF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1E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8" fontId="5" fillId="0" borderId="6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44" fontId="4" fillId="4" borderId="6" xfId="1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8" fontId="3" fillId="3" borderId="2" xfId="0" applyNumberFormat="1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4504-8D84-CB40-8292-070E977F1A69}">
  <dimension ref="A1:E34"/>
  <sheetViews>
    <sheetView tabSelected="1" workbookViewId="0">
      <selection activeCell="D28" sqref="D28"/>
    </sheetView>
  </sheetViews>
  <sheetFormatPr baseColWidth="10" defaultRowHeight="16" x14ac:dyDescent="0.2"/>
  <cols>
    <col min="1" max="1" width="40.6640625" customWidth="1"/>
  </cols>
  <sheetData>
    <row r="1" spans="1:5" ht="2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thickBot="1" x14ac:dyDescent="0.25">
      <c r="A2" s="6" t="s">
        <v>5</v>
      </c>
      <c r="B2" s="7"/>
      <c r="C2" s="7"/>
      <c r="D2" s="7"/>
      <c r="E2" s="8"/>
    </row>
    <row r="3" spans="1:5" ht="20" customHeight="1" thickBot="1" x14ac:dyDescent="0.25">
      <c r="A3" s="3" t="s">
        <v>6</v>
      </c>
      <c r="B3" s="4" t="s">
        <v>7</v>
      </c>
      <c r="C3" s="4" t="s">
        <v>8</v>
      </c>
      <c r="D3" s="4" t="s">
        <v>8</v>
      </c>
      <c r="E3" s="5">
        <v>108825</v>
      </c>
    </row>
    <row r="4" spans="1:5" ht="20" customHeight="1" thickBot="1" x14ac:dyDescent="0.25">
      <c r="A4" s="3" t="s">
        <v>9</v>
      </c>
      <c r="B4" s="4" t="s">
        <v>7</v>
      </c>
      <c r="C4" s="4" t="s">
        <v>8</v>
      </c>
      <c r="D4" s="4" t="s">
        <v>8</v>
      </c>
      <c r="E4" s="5">
        <v>47834</v>
      </c>
    </row>
    <row r="5" spans="1:5" ht="20" customHeight="1" thickBot="1" x14ac:dyDescent="0.25">
      <c r="A5" s="3" t="s">
        <v>10</v>
      </c>
      <c r="B5" s="4" t="s">
        <v>7</v>
      </c>
      <c r="C5" s="4" t="s">
        <v>8</v>
      </c>
      <c r="D5" s="4" t="s">
        <v>8</v>
      </c>
      <c r="E5" s="5">
        <v>4215</v>
      </c>
    </row>
    <row r="6" spans="1:5" ht="20" customHeight="1" thickBot="1" x14ac:dyDescent="0.25">
      <c r="A6" s="11"/>
      <c r="B6" s="12"/>
      <c r="C6" s="12"/>
      <c r="D6" s="13" t="s">
        <v>34</v>
      </c>
      <c r="E6" s="5">
        <f>SUM(E1:E5)</f>
        <v>160874</v>
      </c>
    </row>
    <row r="7" spans="1:5" ht="17" thickBot="1" x14ac:dyDescent="0.25">
      <c r="A7" s="6" t="s">
        <v>11</v>
      </c>
      <c r="B7" s="7"/>
      <c r="C7" s="7"/>
      <c r="D7" s="7"/>
      <c r="E7" s="8"/>
    </row>
    <row r="8" spans="1:5" ht="20" customHeight="1" thickBot="1" x14ac:dyDescent="0.25">
      <c r="A8" s="3" t="s">
        <v>12</v>
      </c>
      <c r="B8" s="4" t="s">
        <v>7</v>
      </c>
      <c r="C8" s="4" t="s">
        <v>8</v>
      </c>
      <c r="D8" s="4" t="s">
        <v>8</v>
      </c>
      <c r="E8" s="5">
        <v>10000</v>
      </c>
    </row>
    <row r="9" spans="1:5" ht="20" customHeight="1" thickBot="1" x14ac:dyDescent="0.25">
      <c r="A9" s="3" t="s">
        <v>13</v>
      </c>
      <c r="B9" s="4" t="s">
        <v>7</v>
      </c>
      <c r="C9" s="4" t="s">
        <v>8</v>
      </c>
      <c r="D9" s="4" t="s">
        <v>8</v>
      </c>
      <c r="E9" s="5">
        <v>15000</v>
      </c>
    </row>
    <row r="10" spans="1:5" ht="20" customHeight="1" thickBot="1" x14ac:dyDescent="0.25">
      <c r="A10" s="3" t="s">
        <v>14</v>
      </c>
      <c r="B10" s="4" t="s">
        <v>7</v>
      </c>
      <c r="C10" s="4" t="s">
        <v>8</v>
      </c>
      <c r="D10" s="4" t="s">
        <v>8</v>
      </c>
      <c r="E10" s="5">
        <v>215000</v>
      </c>
    </row>
    <row r="11" spans="1:5" ht="20" customHeight="1" thickBot="1" x14ac:dyDescent="0.25">
      <c r="A11" s="3" t="s">
        <v>15</v>
      </c>
      <c r="B11" s="4" t="s">
        <v>7</v>
      </c>
      <c r="C11" s="4" t="s">
        <v>8</v>
      </c>
      <c r="D11" s="4" t="s">
        <v>8</v>
      </c>
      <c r="E11" s="5">
        <v>20000</v>
      </c>
    </row>
    <row r="12" spans="1:5" ht="20" customHeight="1" thickBot="1" x14ac:dyDescent="0.25">
      <c r="A12" s="3" t="s">
        <v>16</v>
      </c>
      <c r="B12" s="4" t="s">
        <v>7</v>
      </c>
      <c r="C12" s="4" t="s">
        <v>8</v>
      </c>
      <c r="D12" s="4" t="s">
        <v>8</v>
      </c>
      <c r="E12" s="5">
        <v>5000</v>
      </c>
    </row>
    <row r="13" spans="1:5" ht="20" customHeight="1" thickBot="1" x14ac:dyDescent="0.25">
      <c r="A13" s="11"/>
      <c r="B13" s="12"/>
      <c r="C13" s="12"/>
      <c r="D13" s="13" t="s">
        <v>34</v>
      </c>
      <c r="E13" s="5">
        <f>SUM(E8:E12)</f>
        <v>265000</v>
      </c>
    </row>
    <row r="14" spans="1:5" ht="17" thickBot="1" x14ac:dyDescent="0.25">
      <c r="A14" s="6" t="s">
        <v>17</v>
      </c>
      <c r="B14" s="7"/>
      <c r="C14" s="7"/>
      <c r="D14" s="7"/>
      <c r="E14" s="8"/>
    </row>
    <row r="15" spans="1:5" ht="20" customHeight="1" thickBot="1" x14ac:dyDescent="0.25">
      <c r="A15" s="3" t="s">
        <v>18</v>
      </c>
      <c r="B15" s="4" t="s">
        <v>7</v>
      </c>
      <c r="C15" s="4" t="s">
        <v>8</v>
      </c>
      <c r="D15" s="4" t="s">
        <v>8</v>
      </c>
      <c r="E15" s="5">
        <v>27000</v>
      </c>
    </row>
    <row r="16" spans="1:5" ht="20" customHeight="1" thickBot="1" x14ac:dyDescent="0.25">
      <c r="A16" s="3" t="s">
        <v>19</v>
      </c>
      <c r="B16" s="4" t="s">
        <v>7</v>
      </c>
      <c r="C16" s="4" t="s">
        <v>8</v>
      </c>
      <c r="D16" s="4" t="s">
        <v>8</v>
      </c>
      <c r="E16" s="5">
        <v>94500</v>
      </c>
    </row>
    <row r="17" spans="1:5" ht="20" customHeight="1" thickBot="1" x14ac:dyDescent="0.25">
      <c r="A17" s="3" t="s">
        <v>20</v>
      </c>
      <c r="B17" s="4" t="s">
        <v>7</v>
      </c>
      <c r="C17" s="4" t="s">
        <v>8</v>
      </c>
      <c r="D17" s="4" t="s">
        <v>8</v>
      </c>
      <c r="E17" s="5">
        <v>30000</v>
      </c>
    </row>
    <row r="18" spans="1:5" ht="20" customHeight="1" thickBot="1" x14ac:dyDescent="0.25">
      <c r="A18" s="3" t="s">
        <v>21</v>
      </c>
      <c r="B18" s="4" t="s">
        <v>7</v>
      </c>
      <c r="C18" s="4" t="s">
        <v>8</v>
      </c>
      <c r="D18" s="4" t="s">
        <v>8</v>
      </c>
      <c r="E18" s="5">
        <v>25312.5</v>
      </c>
    </row>
    <row r="19" spans="1:5" ht="20" customHeight="1" thickBot="1" x14ac:dyDescent="0.25">
      <c r="A19" s="3" t="s">
        <v>22</v>
      </c>
      <c r="B19" s="4" t="s">
        <v>7</v>
      </c>
      <c r="C19" s="4" t="s">
        <v>8</v>
      </c>
      <c r="D19" s="4" t="s">
        <v>8</v>
      </c>
      <c r="E19" s="5">
        <v>21937.5</v>
      </c>
    </row>
    <row r="20" spans="1:5" ht="20" customHeight="1" thickBot="1" x14ac:dyDescent="0.25">
      <c r="A20" s="3" t="s">
        <v>23</v>
      </c>
      <c r="B20" s="4" t="s">
        <v>7</v>
      </c>
      <c r="C20" s="4" t="s">
        <v>8</v>
      </c>
      <c r="D20" s="4" t="s">
        <v>8</v>
      </c>
      <c r="E20" s="5">
        <v>6750</v>
      </c>
    </row>
    <row r="21" spans="1:5" ht="20" customHeight="1" thickBot="1" x14ac:dyDescent="0.25">
      <c r="A21" s="3" t="s">
        <v>24</v>
      </c>
      <c r="B21" s="4" t="s">
        <v>7</v>
      </c>
      <c r="C21" s="4" t="s">
        <v>8</v>
      </c>
      <c r="D21" s="4" t="s">
        <v>8</v>
      </c>
      <c r="E21" s="5">
        <v>17820</v>
      </c>
    </row>
    <row r="22" spans="1:5" ht="20" customHeight="1" thickBot="1" x14ac:dyDescent="0.25">
      <c r="A22" s="3" t="s">
        <v>25</v>
      </c>
      <c r="B22" s="4" t="s">
        <v>7</v>
      </c>
      <c r="C22" s="4" t="s">
        <v>8</v>
      </c>
      <c r="D22" s="4" t="s">
        <v>8</v>
      </c>
      <c r="E22" s="5">
        <v>9180</v>
      </c>
    </row>
    <row r="23" spans="1:5" ht="20" customHeight="1" thickBot="1" x14ac:dyDescent="0.25">
      <c r="A23" s="3" t="s">
        <v>26</v>
      </c>
      <c r="B23" s="4" t="s">
        <v>7</v>
      </c>
      <c r="C23" s="4" t="s">
        <v>8</v>
      </c>
      <c r="D23" s="4" t="s">
        <v>8</v>
      </c>
      <c r="E23" s="5">
        <v>2450</v>
      </c>
    </row>
    <row r="24" spans="1:5" ht="20" customHeight="1" thickBot="1" x14ac:dyDescent="0.25">
      <c r="A24" s="11"/>
      <c r="B24" s="12"/>
      <c r="C24" s="12"/>
      <c r="D24" s="13" t="s">
        <v>34</v>
      </c>
      <c r="E24" s="5">
        <f>SUM(E15:E23)</f>
        <v>234950</v>
      </c>
    </row>
    <row r="25" spans="1:5" ht="17" thickBot="1" x14ac:dyDescent="0.25">
      <c r="A25" s="6" t="s">
        <v>27</v>
      </c>
      <c r="B25" s="7"/>
      <c r="C25" s="7"/>
      <c r="D25" s="7"/>
      <c r="E25" s="8"/>
    </row>
    <row r="26" spans="1:5" ht="17" thickBot="1" x14ac:dyDescent="0.25">
      <c r="A26" s="3" t="s">
        <v>28</v>
      </c>
      <c r="B26" s="4" t="s">
        <v>29</v>
      </c>
      <c r="C26" s="10">
        <v>175</v>
      </c>
      <c r="D26" s="9">
        <v>200</v>
      </c>
      <c r="E26" s="5">
        <f>C26*D26</f>
        <v>35000</v>
      </c>
    </row>
    <row r="27" spans="1:5" ht="17" thickBot="1" x14ac:dyDescent="0.25">
      <c r="A27" s="3" t="s">
        <v>30</v>
      </c>
      <c r="B27" s="4" t="s">
        <v>29</v>
      </c>
      <c r="C27" s="10">
        <v>150</v>
      </c>
      <c r="D27" s="9">
        <v>200</v>
      </c>
      <c r="E27" s="5">
        <f t="shared" ref="E27:E30" si="0">C27*D27</f>
        <v>30000</v>
      </c>
    </row>
    <row r="28" spans="1:5" ht="17" thickBot="1" x14ac:dyDescent="0.25">
      <c r="A28" s="3" t="s">
        <v>31</v>
      </c>
      <c r="B28" s="4" t="s">
        <v>29</v>
      </c>
      <c r="C28" s="10">
        <v>100</v>
      </c>
      <c r="D28" s="9">
        <v>200</v>
      </c>
      <c r="E28" s="5">
        <f t="shared" si="0"/>
        <v>20000</v>
      </c>
    </row>
    <row r="29" spans="1:5" ht="17" thickBot="1" x14ac:dyDescent="0.25">
      <c r="A29" s="3" t="s">
        <v>33</v>
      </c>
      <c r="B29" s="4" t="s">
        <v>29</v>
      </c>
      <c r="C29" s="10">
        <v>150</v>
      </c>
      <c r="D29" s="9">
        <v>200</v>
      </c>
      <c r="E29" s="5">
        <f t="shared" si="0"/>
        <v>30000</v>
      </c>
    </row>
    <row r="30" spans="1:5" ht="17" thickBot="1" x14ac:dyDescent="0.25">
      <c r="A30" s="3" t="s">
        <v>32</v>
      </c>
      <c r="B30" s="4" t="s">
        <v>29</v>
      </c>
      <c r="C30" s="10">
        <v>135</v>
      </c>
      <c r="D30" s="9">
        <v>200</v>
      </c>
      <c r="E30" s="5">
        <f t="shared" si="0"/>
        <v>27000</v>
      </c>
    </row>
    <row r="31" spans="1:5" ht="17" thickBot="1" x14ac:dyDescent="0.25">
      <c r="A31" s="11"/>
      <c r="B31" s="12"/>
      <c r="C31" s="12"/>
      <c r="D31" s="13" t="s">
        <v>34</v>
      </c>
      <c r="E31" s="5">
        <f>SUM(E26:E30)</f>
        <v>142000</v>
      </c>
    </row>
    <row r="32" spans="1:5" ht="17" thickBot="1" x14ac:dyDescent="0.25">
      <c r="A32" s="6" t="s">
        <v>35</v>
      </c>
      <c r="B32" s="7"/>
      <c r="C32" s="7"/>
      <c r="D32" s="7"/>
      <c r="E32" s="8"/>
    </row>
    <row r="33" spans="1:5" ht="17" thickBot="1" x14ac:dyDescent="0.25">
      <c r="A33" s="11"/>
      <c r="B33" s="12"/>
      <c r="C33" s="12"/>
      <c r="D33" s="13" t="s">
        <v>36</v>
      </c>
      <c r="E33" s="5">
        <f>SUM(E32:E32)</f>
        <v>0</v>
      </c>
    </row>
    <row r="34" spans="1:5" ht="17" thickBot="1" x14ac:dyDescent="0.25">
      <c r="A34" s="14" t="s">
        <v>37</v>
      </c>
      <c r="B34" s="15"/>
      <c r="C34" s="15"/>
      <c r="D34" s="15"/>
      <c r="E34" s="16">
        <f>E6+E13+E24+E31+E33</f>
        <v>802824</v>
      </c>
    </row>
  </sheetData>
  <mergeCells count="5">
    <mergeCell ref="A2:E2"/>
    <mergeCell ref="A7:E7"/>
    <mergeCell ref="A14:E14"/>
    <mergeCell ref="A25:E25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Morgan</dc:creator>
  <cp:lastModifiedBy>Brian Morgan</cp:lastModifiedBy>
  <dcterms:created xsi:type="dcterms:W3CDTF">2026-01-11T01:35:16Z</dcterms:created>
  <dcterms:modified xsi:type="dcterms:W3CDTF">2026-01-11T01:50:07Z</dcterms:modified>
</cp:coreProperties>
</file>